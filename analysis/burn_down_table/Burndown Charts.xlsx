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xiya/Downloads/"/>
    </mc:Choice>
  </mc:AlternateContent>
  <xr:revisionPtr revIDLastSave="0" documentId="13_ncr:1_{D128B367-A08A-DE4F-9D46-2F2393936F43}" xr6:coauthVersionLast="47" xr6:coauthVersionMax="47" xr10:uidLastSave="{00000000-0000-0000-0000-000000000000}"/>
  <bookViews>
    <workbookView xWindow="4980" yWindow="2860" windowWidth="35840" windowHeight="20360" activeTab="3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9" i="4"/>
  <c r="B10" i="4"/>
  <c r="B11" i="4"/>
  <c r="B12" i="4"/>
  <c r="B13" i="4"/>
  <c r="B14" i="4"/>
  <c r="B15" i="4"/>
  <c r="B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6" i="3"/>
  <c r="B17" i="3"/>
  <c r="B15" i="3"/>
  <c r="B14" i="3"/>
  <c r="B13" i="3"/>
  <c r="B12" i="3"/>
  <c r="B11" i="3"/>
  <c r="B10" i="3"/>
  <c r="B9" i="3"/>
  <c r="B7" i="3"/>
  <c r="B8" i="3" s="1"/>
  <c r="B6" i="3"/>
  <c r="B5" i="3"/>
  <c r="B4" i="3"/>
  <c r="B3" i="3"/>
  <c r="B16" i="2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" i="4"/>
  <c r="C2" i="3"/>
  <c r="B2" i="3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<sst xmlns="http://schemas.openxmlformats.org/spreadsheetml/2006/main" count="85" uniqueCount="71">
  <si>
    <t>Date</t>
  </si>
  <si>
    <t>Expected Time Remaining</t>
  </si>
  <si>
    <t>Actual Time Remaining</t>
  </si>
  <si>
    <t>User Stories</t>
  </si>
  <si>
    <t>Interviews</t>
  </si>
  <si>
    <t>Acceptance</t>
  </si>
  <si>
    <t>Competitors Research</t>
  </si>
  <si>
    <t>DB Design</t>
  </si>
  <si>
    <t>DB Mockup</t>
  </si>
  <si>
    <t>Git</t>
  </si>
  <si>
    <t>Bike</t>
  </si>
  <si>
    <t>Weather API</t>
  </si>
  <si>
    <t>DB Insertion</t>
  </si>
  <si>
    <t>DB Implementation</t>
  </si>
  <si>
    <t>Flask API</t>
  </si>
  <si>
    <t>Retrieve DB</t>
  </si>
  <si>
    <t>EC2</t>
  </si>
  <si>
    <t>User Stories Jira</t>
  </si>
  <si>
    <t>Jira Fix</t>
  </si>
  <si>
    <t>User Login DB</t>
  </si>
  <si>
    <t>User Login API</t>
  </si>
  <si>
    <t>Reservation Schema</t>
  </si>
  <si>
    <t xml:space="preserve">Route Planning </t>
  </si>
  <si>
    <t>Station Availability</t>
  </si>
  <si>
    <t>Frontend</t>
  </si>
  <si>
    <t>Backend Update</t>
  </si>
  <si>
    <t>EC2 Update</t>
  </si>
  <si>
    <t>RDS</t>
  </si>
  <si>
    <t>Demo</t>
  </si>
  <si>
    <t>Figma Update</t>
  </si>
  <si>
    <t>Retrospective</t>
  </si>
  <si>
    <t>Bike Reservation</t>
  </si>
  <si>
    <t>Mar  1</t>
  </si>
  <si>
    <t>Mar  2</t>
  </si>
  <si>
    <t>Mar  3</t>
  </si>
  <si>
    <t>Mar  4</t>
  </si>
  <si>
    <t>Mar  5</t>
  </si>
  <si>
    <t>Mar  6</t>
  </si>
  <si>
    <t>Mar  7</t>
  </si>
  <si>
    <t>Mar  8</t>
  </si>
  <si>
    <t>Mar  9</t>
  </si>
  <si>
    <t>Mar  10</t>
  </si>
  <si>
    <t>Mar  11</t>
  </si>
  <si>
    <t>Mar  12</t>
  </si>
  <si>
    <t>Mar  13</t>
  </si>
  <si>
    <t>Mar  14</t>
  </si>
  <si>
    <t>Mar  15</t>
  </si>
  <si>
    <t>Mar  16</t>
  </si>
  <si>
    <t>Mar  17</t>
  </si>
  <si>
    <t>Mar  18</t>
  </si>
  <si>
    <t>Mar  19</t>
  </si>
  <si>
    <t>Mar  20</t>
  </si>
  <si>
    <t>Mar  21</t>
  </si>
  <si>
    <t>Mar  22</t>
  </si>
  <si>
    <t>Mar  23</t>
  </si>
  <si>
    <t>Mar  24</t>
  </si>
  <si>
    <t>Mar  25</t>
  </si>
  <si>
    <t>Mar  26</t>
  </si>
  <si>
    <t>Mar  27</t>
  </si>
  <si>
    <t>Mar  28</t>
  </si>
  <si>
    <t>Mar  29</t>
  </si>
  <si>
    <t>Mar  30</t>
  </si>
  <si>
    <t>Mar  31</t>
  </si>
  <si>
    <t>Feature update</t>
  </si>
  <si>
    <t>Route Planning with machine learning</t>
  </si>
  <si>
    <t>Model training</t>
  </si>
  <si>
    <t>Frontend update</t>
  </si>
  <si>
    <t>EC2 update</t>
  </si>
  <si>
    <t>Report Preparation</t>
  </si>
  <si>
    <t>Test</t>
  </si>
  <si>
    <t>Backend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</si>
</sst>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Sprint 1 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1'!$B$1</c:f>
              <c:strCache>
                <c:ptCount val="1"/>
                <c:pt idx="0">
                  <c:v>Expected Time Remaining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'Sprint 1'!$A$2:$A$16</c:f>
              <c:numCache>
                <c:formatCode>mmmm\ d</c:formatCode>
                <c:ptCount val="15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46060</c:v>
                </c:pt>
                <c:pt idx="6">
                  <c:v>46061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46067</c:v>
                </c:pt>
                <c:pt idx="13">
                  <c:v>46068</c:v>
                </c:pt>
                <c:pt idx="14">
                  <c:v>46069</c:v>
                </c:pt>
              </c:numCache>
            </c:numRef>
          </c:cat>
          <c:val>
            <c:numRef>
              <c:f>'Sprint 1'!$B$2:$B$16</c:f>
              <c:numCache>
                <c:formatCode>General</c:formatCode>
                <c:ptCount val="15"/>
                <c:pt idx="0">
                  <c:v>25.2</c:v>
                </c:pt>
                <c:pt idx="1">
                  <c:v>23.4</c:v>
                </c:pt>
                <c:pt idx="2">
                  <c:v>21.599999999999998</c:v>
                </c:pt>
                <c:pt idx="3">
                  <c:v>19.799999999999997</c:v>
                </c:pt>
                <c:pt idx="4">
                  <c:v>17.999999999999996</c:v>
                </c:pt>
                <c:pt idx="5">
                  <c:v>16.199999999999996</c:v>
                </c:pt>
                <c:pt idx="6">
                  <c:v>14.399999999999995</c:v>
                </c:pt>
                <c:pt idx="7">
                  <c:v>12.599999999999994</c:v>
                </c:pt>
                <c:pt idx="8">
                  <c:v>10.799999999999994</c:v>
                </c:pt>
                <c:pt idx="9">
                  <c:v>8.9999999999999929</c:v>
                </c:pt>
                <c:pt idx="10">
                  <c:v>7.1999999999999931</c:v>
                </c:pt>
                <c:pt idx="11">
                  <c:v>5.3999999999999932</c:v>
                </c:pt>
                <c:pt idx="12">
                  <c:v>3.5999999999999934</c:v>
                </c:pt>
                <c:pt idx="13">
                  <c:v>1.7999999999999934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1-6042-A969-2F63AB6A6275}"/>
            </c:ext>
          </c:extLst>
        </c:ser>
        <c:ser>
          <c:idx val="1"/>
          <c:order val="1"/>
          <c:tx>
            <c:strRef>
              <c:f>'Sprint 1'!$C$1</c:f>
              <c:strCache>
                <c:ptCount val="1"/>
                <c:pt idx="0">
                  <c:v>Actual Time Remaining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'Sprint 1'!$A$2:$A$16</c:f>
              <c:numCache>
                <c:formatCode>mmmm\ d</c:formatCode>
                <c:ptCount val="15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46060</c:v>
                </c:pt>
                <c:pt idx="6">
                  <c:v>46061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46067</c:v>
                </c:pt>
                <c:pt idx="13">
                  <c:v>46068</c:v>
                </c:pt>
                <c:pt idx="14">
                  <c:v>46069</c:v>
                </c:pt>
              </c:numCache>
            </c:numRef>
          </c:cat>
          <c:val>
            <c:numRef>
              <c:f>'Sprint 1'!$C$2:$C$16</c:f>
              <c:numCache>
                <c:formatCode>General</c:formatCode>
                <c:ptCount val="15"/>
                <c:pt idx="0">
                  <c:v>25.2</c:v>
                </c:pt>
                <c:pt idx="1">
                  <c:v>24.2</c:v>
                </c:pt>
                <c:pt idx="2">
                  <c:v>18.2</c:v>
                </c:pt>
                <c:pt idx="3">
                  <c:v>15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1-6042-A969-2F63AB6A6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754763"/>
        <c:axId val="699031775"/>
      </c:lineChart>
      <c:dateAx>
        <c:axId val="1323754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mmm\ 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699031775"/>
        <c:crosses val="autoZero"/>
        <c:auto val="1"/>
        <c:lblOffset val="100"/>
        <c:baseTimeUnit val="days"/>
      </c:dateAx>
      <c:valAx>
        <c:axId val="699031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13237547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CN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Sprint 2 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2'!$B$1</c:f>
              <c:strCache>
                <c:ptCount val="1"/>
                <c:pt idx="0">
                  <c:v>Expected Time Remaining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'Sprint 2'!$A$2:$A$16</c:f>
              <c:numCache>
                <c:formatCode>mmmm\ d</c:formatCode>
                <c:ptCount val="15"/>
                <c:pt idx="0">
                  <c:v>46069</c:v>
                </c:pt>
                <c:pt idx="1">
                  <c:v>46070</c:v>
                </c:pt>
                <c:pt idx="2">
                  <c:v>46071</c:v>
                </c:pt>
                <c:pt idx="3">
                  <c:v>46072</c:v>
                </c:pt>
                <c:pt idx="4">
                  <c:v>46073</c:v>
                </c:pt>
                <c:pt idx="5">
                  <c:v>46074</c:v>
                </c:pt>
                <c:pt idx="6">
                  <c:v>46075</c:v>
                </c:pt>
                <c:pt idx="7">
                  <c:v>46076</c:v>
                </c:pt>
                <c:pt idx="8">
                  <c:v>46077</c:v>
                </c:pt>
                <c:pt idx="9">
                  <c:v>46078</c:v>
                </c:pt>
                <c:pt idx="10">
                  <c:v>46079</c:v>
                </c:pt>
                <c:pt idx="11">
                  <c:v>46080</c:v>
                </c:pt>
                <c:pt idx="12">
                  <c:v>46081</c:v>
                </c:pt>
                <c:pt idx="13">
                  <c:v>46082</c:v>
                </c:pt>
                <c:pt idx="14">
                  <c:v>46083</c:v>
                </c:pt>
              </c:numCache>
            </c:numRef>
          </c:cat>
          <c:val>
            <c:numRef>
              <c:f>'Sprint 2'!$B$2:$B$16</c:f>
              <c:numCache>
                <c:formatCode>General</c:formatCode>
                <c:ptCount val="15"/>
                <c:pt idx="0">
                  <c:v>24</c:v>
                </c:pt>
                <c:pt idx="1">
                  <c:v>22.29</c:v>
                </c:pt>
                <c:pt idx="2">
                  <c:v>20.58</c:v>
                </c:pt>
                <c:pt idx="3">
                  <c:v>18.869999999999997</c:v>
                </c:pt>
                <c:pt idx="4">
                  <c:v>17.159999999999997</c:v>
                </c:pt>
                <c:pt idx="5">
                  <c:v>15.449999999999996</c:v>
                </c:pt>
                <c:pt idx="6">
                  <c:v>13.739999999999995</c:v>
                </c:pt>
                <c:pt idx="7">
                  <c:v>12.029999999999994</c:v>
                </c:pt>
                <c:pt idx="8">
                  <c:v>10.319999999999993</c:v>
                </c:pt>
                <c:pt idx="9">
                  <c:v>8.6099999999999923</c:v>
                </c:pt>
                <c:pt idx="10">
                  <c:v>6.8999999999999924</c:v>
                </c:pt>
                <c:pt idx="11">
                  <c:v>5.1899999999999924</c:v>
                </c:pt>
                <c:pt idx="12">
                  <c:v>3.4799999999999924</c:v>
                </c:pt>
                <c:pt idx="13">
                  <c:v>1.7699999999999925</c:v>
                </c:pt>
                <c:pt idx="14">
                  <c:v>-7.5495165674510645E-15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3-E64F-BC5E-9E12C770BD7A}"/>
            </c:ext>
          </c:extLst>
        </c:ser>
        <c:ser>
          <c:idx val="1"/>
          <c:order val="1"/>
          <c:tx>
            <c:strRef>
              <c:f>'Sprint 2'!$C$1</c:f>
              <c:strCache>
                <c:ptCount val="1"/>
                <c:pt idx="0">
                  <c:v>Actual Time Remaining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'Sprint 2'!$A$2:$A$16</c:f>
              <c:numCache>
                <c:formatCode>mmmm\ d</c:formatCode>
                <c:ptCount val="15"/>
                <c:pt idx="0">
                  <c:v>46069</c:v>
                </c:pt>
                <c:pt idx="1">
                  <c:v>46070</c:v>
                </c:pt>
                <c:pt idx="2">
                  <c:v>46071</c:v>
                </c:pt>
                <c:pt idx="3">
                  <c:v>46072</c:v>
                </c:pt>
                <c:pt idx="4">
                  <c:v>46073</c:v>
                </c:pt>
                <c:pt idx="5">
                  <c:v>46074</c:v>
                </c:pt>
                <c:pt idx="6">
                  <c:v>46075</c:v>
                </c:pt>
                <c:pt idx="7">
                  <c:v>46076</c:v>
                </c:pt>
                <c:pt idx="8">
                  <c:v>46077</c:v>
                </c:pt>
                <c:pt idx="9">
                  <c:v>46078</c:v>
                </c:pt>
                <c:pt idx="10">
                  <c:v>46079</c:v>
                </c:pt>
                <c:pt idx="11">
                  <c:v>46080</c:v>
                </c:pt>
                <c:pt idx="12">
                  <c:v>46081</c:v>
                </c:pt>
                <c:pt idx="13">
                  <c:v>46082</c:v>
                </c:pt>
                <c:pt idx="14">
                  <c:v>46083</c:v>
                </c:pt>
              </c:numCache>
            </c:numRef>
          </c:cat>
          <c:val>
            <c:numRef>
              <c:f>'Sprint 2'!$C$2:$C$16</c:f>
              <c:numCache>
                <c:formatCode>General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19</c:v>
                </c:pt>
                <c:pt idx="3">
                  <c:v>17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7.5</c:v>
                </c:pt>
                <c:pt idx="8">
                  <c:v>6.5</c:v>
                </c:pt>
                <c:pt idx="9">
                  <c:v>4.5</c:v>
                </c:pt>
                <c:pt idx="10">
                  <c:v>3.5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3-E64F-BC5E-9E12C770B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92981"/>
        <c:axId val="2077251119"/>
      </c:lineChart>
      <c:dateAx>
        <c:axId val="97419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mmm\ 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2077251119"/>
        <c:crosses val="autoZero"/>
        <c:auto val="1"/>
        <c:lblOffset val="100"/>
        <c:baseTimeUnit val="days"/>
      </c:dateAx>
      <c:valAx>
        <c:axId val="207725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9741929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CN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Sprint </a:t>
            </a:r>
            <a:r>
              <a:rPr lang="en-US" altLang="zh-CN" b="0">
                <a:solidFill>
                  <a:srgbClr val="757575"/>
                </a:solidFill>
                <a:latin typeface="+mn-lt"/>
              </a:rPr>
              <a:t>3</a:t>
            </a:r>
            <a:r>
              <a:rPr lang="de-DE" b="0">
                <a:solidFill>
                  <a:srgbClr val="757575"/>
                </a:solidFill>
                <a:latin typeface="+mn-lt"/>
              </a:rPr>
              <a:t> 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3'!$B$1</c:f>
              <c:strCache>
                <c:ptCount val="1"/>
                <c:pt idx="0">
                  <c:v>Expected Time Remaining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3'!$A$2:$A$32</c:f>
              <c:strCache>
                <c:ptCount val="31"/>
                <c:pt idx="0">
                  <c:v>Mar  1</c:v>
                </c:pt>
                <c:pt idx="1">
                  <c:v>Mar  2</c:v>
                </c:pt>
                <c:pt idx="2">
                  <c:v>Mar  3</c:v>
                </c:pt>
                <c:pt idx="3">
                  <c:v>Mar  4</c:v>
                </c:pt>
                <c:pt idx="4">
                  <c:v>Mar  5</c:v>
                </c:pt>
                <c:pt idx="5">
                  <c:v>Mar  6</c:v>
                </c:pt>
                <c:pt idx="6">
                  <c:v>Mar  7</c:v>
                </c:pt>
                <c:pt idx="7">
                  <c:v>Mar  8</c:v>
                </c:pt>
                <c:pt idx="8">
                  <c:v>Mar  9</c:v>
                </c:pt>
                <c:pt idx="9">
                  <c:v>Mar  10</c:v>
                </c:pt>
                <c:pt idx="10">
                  <c:v>Mar  11</c:v>
                </c:pt>
                <c:pt idx="11">
                  <c:v>Mar  12</c:v>
                </c:pt>
                <c:pt idx="12">
                  <c:v>Mar  13</c:v>
                </c:pt>
                <c:pt idx="13">
                  <c:v>Mar  14</c:v>
                </c:pt>
                <c:pt idx="14">
                  <c:v>Mar  15</c:v>
                </c:pt>
                <c:pt idx="15">
                  <c:v>Mar  16</c:v>
                </c:pt>
                <c:pt idx="16">
                  <c:v>Mar  17</c:v>
                </c:pt>
                <c:pt idx="17">
                  <c:v>Mar  18</c:v>
                </c:pt>
                <c:pt idx="18">
                  <c:v>Mar  19</c:v>
                </c:pt>
                <c:pt idx="19">
                  <c:v>Mar  20</c:v>
                </c:pt>
                <c:pt idx="20">
                  <c:v>Mar  21</c:v>
                </c:pt>
                <c:pt idx="21">
                  <c:v>Mar  22</c:v>
                </c:pt>
                <c:pt idx="22">
                  <c:v>Mar  23</c:v>
                </c:pt>
                <c:pt idx="23">
                  <c:v>Mar  24</c:v>
                </c:pt>
                <c:pt idx="24">
                  <c:v>Mar  25</c:v>
                </c:pt>
                <c:pt idx="25">
                  <c:v>Mar  26</c:v>
                </c:pt>
                <c:pt idx="26">
                  <c:v>Mar  27</c:v>
                </c:pt>
                <c:pt idx="27">
                  <c:v>Mar  28</c:v>
                </c:pt>
                <c:pt idx="28">
                  <c:v>Mar  29</c:v>
                </c:pt>
                <c:pt idx="29">
                  <c:v>Mar  30</c:v>
                </c:pt>
                <c:pt idx="30">
                  <c:v>Mar  31</c:v>
                </c:pt>
              </c:strCache>
            </c:strRef>
          </c:cat>
          <c:val>
            <c:numRef>
              <c:f>'Sprint 3'!$B$2:$B$32</c:f>
              <c:numCache>
                <c:formatCode>General</c:formatCode>
                <c:ptCount val="31"/>
                <c:pt idx="0">
                  <c:v>38</c:v>
                </c:pt>
                <c:pt idx="1">
                  <c:v>35.29</c:v>
                </c:pt>
                <c:pt idx="2">
                  <c:v>32.58</c:v>
                </c:pt>
                <c:pt idx="3">
                  <c:v>29.869999999999997</c:v>
                </c:pt>
                <c:pt idx="4">
                  <c:v>27.159999999999997</c:v>
                </c:pt>
                <c:pt idx="5">
                  <c:v>24.449999999999996</c:v>
                </c:pt>
                <c:pt idx="6">
                  <c:v>22.739999999999995</c:v>
                </c:pt>
                <c:pt idx="7">
                  <c:v>20.029999999999994</c:v>
                </c:pt>
                <c:pt idx="8">
                  <c:v>17.319999999999993</c:v>
                </c:pt>
                <c:pt idx="9">
                  <c:v>17.319999999999993</c:v>
                </c:pt>
                <c:pt idx="10">
                  <c:v>17.319999999999993</c:v>
                </c:pt>
                <c:pt idx="11">
                  <c:v>17.319999999999993</c:v>
                </c:pt>
                <c:pt idx="12">
                  <c:v>17.319999999999993</c:v>
                </c:pt>
                <c:pt idx="13">
                  <c:v>17.319999999999993</c:v>
                </c:pt>
                <c:pt idx="14">
                  <c:v>17.319999999999993</c:v>
                </c:pt>
                <c:pt idx="15">
                  <c:v>17.319999999999993</c:v>
                </c:pt>
                <c:pt idx="16">
                  <c:v>17.319999999999993</c:v>
                </c:pt>
                <c:pt idx="17">
                  <c:v>17.319999999999993</c:v>
                </c:pt>
                <c:pt idx="18">
                  <c:v>17.319999999999993</c:v>
                </c:pt>
                <c:pt idx="19">
                  <c:v>17.319999999999993</c:v>
                </c:pt>
                <c:pt idx="20">
                  <c:v>17.319999999999993</c:v>
                </c:pt>
                <c:pt idx="21">
                  <c:v>17.319999999999993</c:v>
                </c:pt>
                <c:pt idx="22">
                  <c:v>14.609999999999992</c:v>
                </c:pt>
                <c:pt idx="23">
                  <c:v>11.899999999999991</c:v>
                </c:pt>
                <c:pt idx="24">
                  <c:v>9.1899999999999906</c:v>
                </c:pt>
                <c:pt idx="25">
                  <c:v>6.4799999999999907</c:v>
                </c:pt>
                <c:pt idx="26">
                  <c:v>3.7699999999999907</c:v>
                </c:pt>
                <c:pt idx="27">
                  <c:v>3.7699999999999907</c:v>
                </c:pt>
                <c:pt idx="28">
                  <c:v>3.7699999999999907</c:v>
                </c:pt>
                <c:pt idx="29">
                  <c:v>1.0599999999999907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A-674A-924D-C5B8852D3849}"/>
            </c:ext>
          </c:extLst>
        </c:ser>
        <c:ser>
          <c:idx val="1"/>
          <c:order val="1"/>
          <c:tx>
            <c:strRef>
              <c:f>'Sprint 3'!$C$1</c:f>
              <c:strCache>
                <c:ptCount val="1"/>
                <c:pt idx="0">
                  <c:v>Actual Time Remaining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3'!$A$2:$A$32</c:f>
              <c:strCache>
                <c:ptCount val="31"/>
                <c:pt idx="0">
                  <c:v>Mar  1</c:v>
                </c:pt>
                <c:pt idx="1">
                  <c:v>Mar  2</c:v>
                </c:pt>
                <c:pt idx="2">
                  <c:v>Mar  3</c:v>
                </c:pt>
                <c:pt idx="3">
                  <c:v>Mar  4</c:v>
                </c:pt>
                <c:pt idx="4">
                  <c:v>Mar  5</c:v>
                </c:pt>
                <c:pt idx="5">
                  <c:v>Mar  6</c:v>
                </c:pt>
                <c:pt idx="6">
                  <c:v>Mar  7</c:v>
                </c:pt>
                <c:pt idx="7">
                  <c:v>Mar  8</c:v>
                </c:pt>
                <c:pt idx="8">
                  <c:v>Mar  9</c:v>
                </c:pt>
                <c:pt idx="9">
                  <c:v>Mar  10</c:v>
                </c:pt>
                <c:pt idx="10">
                  <c:v>Mar  11</c:v>
                </c:pt>
                <c:pt idx="11">
                  <c:v>Mar  12</c:v>
                </c:pt>
                <c:pt idx="12">
                  <c:v>Mar  13</c:v>
                </c:pt>
                <c:pt idx="13">
                  <c:v>Mar  14</c:v>
                </c:pt>
                <c:pt idx="14">
                  <c:v>Mar  15</c:v>
                </c:pt>
                <c:pt idx="15">
                  <c:v>Mar  16</c:v>
                </c:pt>
                <c:pt idx="16">
                  <c:v>Mar  17</c:v>
                </c:pt>
                <c:pt idx="17">
                  <c:v>Mar  18</c:v>
                </c:pt>
                <c:pt idx="18">
                  <c:v>Mar  19</c:v>
                </c:pt>
                <c:pt idx="19">
                  <c:v>Mar  20</c:v>
                </c:pt>
                <c:pt idx="20">
                  <c:v>Mar  21</c:v>
                </c:pt>
                <c:pt idx="21">
                  <c:v>Mar  22</c:v>
                </c:pt>
                <c:pt idx="22">
                  <c:v>Mar  23</c:v>
                </c:pt>
                <c:pt idx="23">
                  <c:v>Mar  24</c:v>
                </c:pt>
                <c:pt idx="24">
                  <c:v>Mar  25</c:v>
                </c:pt>
                <c:pt idx="25">
                  <c:v>Mar  26</c:v>
                </c:pt>
                <c:pt idx="26">
                  <c:v>Mar  27</c:v>
                </c:pt>
                <c:pt idx="27">
                  <c:v>Mar  28</c:v>
                </c:pt>
                <c:pt idx="28">
                  <c:v>Mar  29</c:v>
                </c:pt>
                <c:pt idx="29">
                  <c:v>Mar  30</c:v>
                </c:pt>
                <c:pt idx="30">
                  <c:v>Mar  31</c:v>
                </c:pt>
              </c:strCache>
            </c:strRef>
          </c:cat>
          <c:val>
            <c:numRef>
              <c:f>'Sprint 3'!$C$2:$C$32</c:f>
              <c:numCache>
                <c:formatCode>General</c:formatCode>
                <c:ptCount val="31"/>
                <c:pt idx="0">
                  <c:v>38</c:v>
                </c:pt>
                <c:pt idx="1">
                  <c:v>35</c:v>
                </c:pt>
                <c:pt idx="2">
                  <c:v>32</c:v>
                </c:pt>
                <c:pt idx="3">
                  <c:v>29</c:v>
                </c:pt>
                <c:pt idx="4">
                  <c:v>28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22</c:v>
                </c:pt>
                <c:pt idx="23">
                  <c:v>20</c:v>
                </c:pt>
                <c:pt idx="24">
                  <c:v>15</c:v>
                </c:pt>
                <c:pt idx="25">
                  <c:v>10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A-674A-924D-C5B8852D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92981"/>
        <c:axId val="2077251119"/>
      </c:lineChart>
      <c:catAx>
        <c:axId val="97419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2077251119"/>
        <c:crosses val="autoZero"/>
        <c:auto val="1"/>
        <c:lblAlgn val="ctr"/>
        <c:lblOffset val="100"/>
        <c:noMultiLvlLbl val="0"/>
      </c:catAx>
      <c:valAx>
        <c:axId val="207725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9741929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CN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Sprint </a:t>
            </a:r>
            <a:r>
              <a:rPr lang="en-US" altLang="zh-CN" b="0">
                <a:solidFill>
                  <a:srgbClr val="757575"/>
                </a:solidFill>
                <a:latin typeface="+mn-lt"/>
              </a:rPr>
              <a:t>4</a:t>
            </a:r>
            <a:r>
              <a:rPr lang="de-DE" b="0">
                <a:solidFill>
                  <a:srgbClr val="757575"/>
                </a:solidFill>
                <a:latin typeface="+mn-lt"/>
              </a:rPr>
              <a:t> 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4'!$B$1</c:f>
              <c:strCache>
                <c:ptCount val="1"/>
                <c:pt idx="0">
                  <c:v>Expected Time Remaining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'Sprint 4'!$A$2:$A$16</c:f>
              <c:numCache>
                <c:formatCode>mmmm\ d</c:formatCode>
                <c:ptCount val="15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</c:numCache>
            </c:numRef>
          </c:cat>
          <c:val>
            <c:numRef>
              <c:f>'Sprint 4'!$B$2:$B$16</c:f>
              <c:numCache>
                <c:formatCode>General</c:formatCode>
                <c:ptCount val="15"/>
                <c:pt idx="0">
                  <c:v>32</c:v>
                </c:pt>
                <c:pt idx="1">
                  <c:v>29.7</c:v>
                </c:pt>
                <c:pt idx="2">
                  <c:v>27.4</c:v>
                </c:pt>
                <c:pt idx="3">
                  <c:v>25.099999999999998</c:v>
                </c:pt>
                <c:pt idx="4">
                  <c:v>22.799999999999997</c:v>
                </c:pt>
                <c:pt idx="5">
                  <c:v>20.499999999999996</c:v>
                </c:pt>
                <c:pt idx="6">
                  <c:v>18.199999999999996</c:v>
                </c:pt>
                <c:pt idx="7">
                  <c:v>15.899999999999995</c:v>
                </c:pt>
                <c:pt idx="8">
                  <c:v>13.599999999999994</c:v>
                </c:pt>
                <c:pt idx="9">
                  <c:v>11.299999999999994</c:v>
                </c:pt>
                <c:pt idx="10">
                  <c:v>8.9999999999999929</c:v>
                </c:pt>
                <c:pt idx="11">
                  <c:v>6.6999999999999931</c:v>
                </c:pt>
                <c:pt idx="12">
                  <c:v>4.3999999999999932</c:v>
                </c:pt>
                <c:pt idx="13">
                  <c:v>2.0999999999999934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6-3448-81F2-457B8C5D7D25}"/>
            </c:ext>
          </c:extLst>
        </c:ser>
        <c:ser>
          <c:idx val="1"/>
          <c:order val="1"/>
          <c:tx>
            <c:strRef>
              <c:f>'Sprint 4'!$C$1</c:f>
              <c:strCache>
                <c:ptCount val="1"/>
                <c:pt idx="0">
                  <c:v>Actual Time Remaining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'Sprint 4'!$A$2:$A$16</c:f>
              <c:numCache>
                <c:formatCode>mmmm\ d</c:formatCode>
                <c:ptCount val="15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</c:numCache>
            </c:numRef>
          </c:cat>
          <c:val>
            <c:numRef>
              <c:f>'Sprint 4'!$C$2:$C$16</c:f>
              <c:numCache>
                <c:formatCode>General</c:formatCode>
                <c:ptCount val="15"/>
                <c:pt idx="0">
                  <c:v>32</c:v>
                </c:pt>
                <c:pt idx="1">
                  <c:v>28</c:v>
                </c:pt>
                <c:pt idx="2">
                  <c:v>27</c:v>
                </c:pt>
                <c:pt idx="3">
                  <c:v>23</c:v>
                </c:pt>
                <c:pt idx="4">
                  <c:v>19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8</c:v>
                </c:pt>
                <c:pt idx="12">
                  <c:v>6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6-3448-81F2-457B8C5D7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92981"/>
        <c:axId val="2077251119"/>
      </c:lineChart>
      <c:dateAx>
        <c:axId val="97419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mmm\ 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2077251119"/>
        <c:crosses val="autoZero"/>
        <c:auto val="1"/>
        <c:lblOffset val="100"/>
        <c:baseTimeUnit val="days"/>
      </c:dateAx>
      <c:valAx>
        <c:axId val="207725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CN"/>
          </a:p>
        </c:txPr>
        <c:crossAx val="9741929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CN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16</xdr:row>
      <xdr:rowOff>133350</xdr:rowOff>
    </xdr:from>
    <xdr:ext cx="8562975" cy="52959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16</xdr:row>
      <xdr:rowOff>190500</xdr:rowOff>
    </xdr:from>
    <xdr:ext cx="8896350" cy="54959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139700</xdr:rowOff>
    </xdr:from>
    <xdr:ext cx="8896350" cy="54959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FD8AC248-4042-474A-B9E2-E412FF74B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16</xdr:row>
      <xdr:rowOff>190500</xdr:rowOff>
    </xdr:from>
    <xdr:ext cx="8896350" cy="54959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6E34CC44-A8A1-6943-AD37-9C956CD9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"/>
  <sheetViews>
    <sheetView workbookViewId="0">
      <selection activeCell="M24" sqref="M24"/>
    </sheetView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ht="15.75" customHeight="1" x14ac:dyDescent="0.15">
      <c r="A2" s="3">
        <v>46055</v>
      </c>
      <c r="B2" s="2">
        <f>SUM(E2:P2)</f>
        <v>25.2</v>
      </c>
      <c r="C2" s="2">
        <f t="shared" ref="C2:C16" si="0">SUM(E2:P2)</f>
        <v>25.2</v>
      </c>
      <c r="E2" s="2">
        <v>1.5</v>
      </c>
      <c r="F2" s="2">
        <v>1.5</v>
      </c>
      <c r="G2" s="2">
        <v>2</v>
      </c>
      <c r="H2" s="2">
        <v>1</v>
      </c>
      <c r="I2" s="2">
        <v>7</v>
      </c>
      <c r="J2" s="2">
        <v>3</v>
      </c>
      <c r="K2" s="2">
        <v>2</v>
      </c>
      <c r="L2" s="2">
        <v>0.2</v>
      </c>
      <c r="M2" s="2">
        <v>2</v>
      </c>
      <c r="N2" s="2">
        <v>2</v>
      </c>
      <c r="O2" s="2">
        <v>2</v>
      </c>
      <c r="P2" s="2">
        <v>1</v>
      </c>
    </row>
    <row r="3" spans="1:16" ht="15.75" customHeight="1" x14ac:dyDescent="0.15">
      <c r="A3" s="3">
        <v>46056</v>
      </c>
      <c r="B3" s="2">
        <f t="shared" ref="B3:B16" si="1">B2 - 1.8</f>
        <v>23.4</v>
      </c>
      <c r="C3" s="2">
        <f t="shared" si="0"/>
        <v>24.2</v>
      </c>
      <c r="E3" s="2">
        <v>0.5</v>
      </c>
      <c r="F3" s="2">
        <v>1.5</v>
      </c>
      <c r="G3" s="2">
        <v>2</v>
      </c>
      <c r="H3" s="2">
        <v>1</v>
      </c>
      <c r="I3" s="2">
        <v>7</v>
      </c>
      <c r="J3" s="2">
        <v>3</v>
      </c>
      <c r="K3" s="2">
        <v>2</v>
      </c>
      <c r="L3" s="2">
        <v>0.2</v>
      </c>
      <c r="M3" s="2">
        <v>2</v>
      </c>
      <c r="N3" s="2">
        <v>2</v>
      </c>
      <c r="O3" s="2">
        <v>2</v>
      </c>
      <c r="P3" s="2">
        <v>1</v>
      </c>
    </row>
    <row r="4" spans="1:16" ht="15.75" customHeight="1" x14ac:dyDescent="0.15">
      <c r="A4" s="3">
        <v>46057</v>
      </c>
      <c r="B4" s="2">
        <f t="shared" si="1"/>
        <v>21.599999999999998</v>
      </c>
      <c r="C4" s="2">
        <f t="shared" si="0"/>
        <v>18.2</v>
      </c>
      <c r="E4" s="2">
        <v>0</v>
      </c>
      <c r="F4" s="2">
        <v>0</v>
      </c>
      <c r="G4" s="2">
        <v>1</v>
      </c>
      <c r="H4" s="2">
        <v>1</v>
      </c>
      <c r="I4" s="2">
        <v>4</v>
      </c>
      <c r="J4" s="2">
        <v>3</v>
      </c>
      <c r="K4" s="2">
        <v>2</v>
      </c>
      <c r="L4" s="2">
        <v>0.2</v>
      </c>
      <c r="M4" s="2">
        <v>2</v>
      </c>
      <c r="N4" s="2">
        <v>2</v>
      </c>
      <c r="O4" s="2">
        <v>2</v>
      </c>
      <c r="P4" s="2">
        <v>1</v>
      </c>
    </row>
    <row r="5" spans="1:16" ht="15.75" customHeight="1" x14ac:dyDescent="0.15">
      <c r="A5" s="3">
        <v>46058</v>
      </c>
      <c r="B5" s="2">
        <f t="shared" si="1"/>
        <v>19.799999999999997</v>
      </c>
      <c r="C5" s="2">
        <f t="shared" si="0"/>
        <v>15</v>
      </c>
      <c r="E5" s="2">
        <v>0</v>
      </c>
      <c r="F5" s="2">
        <v>0</v>
      </c>
      <c r="G5" s="2">
        <v>0</v>
      </c>
      <c r="H5" s="2">
        <v>1</v>
      </c>
      <c r="I5" s="2">
        <v>2</v>
      </c>
      <c r="J5" s="2">
        <v>3</v>
      </c>
      <c r="K5" s="2">
        <v>2</v>
      </c>
      <c r="L5" s="2">
        <v>0</v>
      </c>
      <c r="M5" s="2">
        <v>2</v>
      </c>
      <c r="N5" s="2">
        <v>2</v>
      </c>
      <c r="O5" s="2">
        <v>2</v>
      </c>
      <c r="P5" s="2">
        <v>1</v>
      </c>
    </row>
    <row r="6" spans="1:16" ht="15.75" customHeight="1" x14ac:dyDescent="0.15">
      <c r="A6" s="3">
        <v>46059</v>
      </c>
      <c r="B6" s="2">
        <f t="shared" si="1"/>
        <v>17.999999999999996</v>
      </c>
      <c r="C6" s="2">
        <f t="shared" si="0"/>
        <v>13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0</v>
      </c>
      <c r="M6" s="2">
        <v>2</v>
      </c>
      <c r="N6" s="2">
        <v>2</v>
      </c>
      <c r="O6" s="2">
        <v>2</v>
      </c>
      <c r="P6" s="2">
        <v>1</v>
      </c>
    </row>
    <row r="7" spans="1:16" ht="15.75" customHeight="1" x14ac:dyDescent="0.15">
      <c r="A7" s="3">
        <v>46060</v>
      </c>
      <c r="B7" s="2">
        <f t="shared" si="1"/>
        <v>16.199999999999996</v>
      </c>
      <c r="C7" s="2">
        <f t="shared" si="0"/>
        <v>13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3</v>
      </c>
      <c r="K7" s="2">
        <v>2</v>
      </c>
      <c r="L7" s="2">
        <v>0</v>
      </c>
      <c r="M7" s="2">
        <v>2</v>
      </c>
      <c r="N7" s="2">
        <v>2</v>
      </c>
      <c r="O7" s="2">
        <v>2</v>
      </c>
      <c r="P7" s="2">
        <v>1</v>
      </c>
    </row>
    <row r="8" spans="1:16" ht="15.75" customHeight="1" x14ac:dyDescent="0.15">
      <c r="A8" s="3">
        <v>46061</v>
      </c>
      <c r="B8" s="2">
        <f t="shared" si="1"/>
        <v>14.399999999999995</v>
      </c>
      <c r="C8" s="2">
        <f t="shared" si="0"/>
        <v>12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2</v>
      </c>
      <c r="L8" s="2">
        <v>0</v>
      </c>
      <c r="M8" s="2">
        <v>2</v>
      </c>
      <c r="N8" s="2">
        <v>2</v>
      </c>
      <c r="O8" s="2">
        <v>2</v>
      </c>
      <c r="P8" s="2">
        <v>1</v>
      </c>
    </row>
    <row r="9" spans="1:16" ht="15.75" customHeight="1" x14ac:dyDescent="0.15">
      <c r="A9" s="3">
        <v>46062</v>
      </c>
      <c r="B9" s="2">
        <f t="shared" si="1"/>
        <v>12.599999999999994</v>
      </c>
      <c r="C9" s="2">
        <f t="shared" si="0"/>
        <v>12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3</v>
      </c>
      <c r="K9" s="2">
        <v>2</v>
      </c>
      <c r="L9" s="2">
        <v>0</v>
      </c>
      <c r="M9" s="2">
        <v>2</v>
      </c>
      <c r="N9" s="2">
        <v>2</v>
      </c>
      <c r="O9" s="2">
        <v>2</v>
      </c>
      <c r="P9" s="2">
        <v>1</v>
      </c>
    </row>
    <row r="10" spans="1:16" ht="15.75" customHeight="1" x14ac:dyDescent="0.15">
      <c r="A10" s="3">
        <v>46063</v>
      </c>
      <c r="B10" s="2">
        <f t="shared" si="1"/>
        <v>10.799999999999994</v>
      </c>
      <c r="C10" s="2">
        <f t="shared" si="0"/>
        <v>12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3</v>
      </c>
      <c r="K10" s="2">
        <v>2</v>
      </c>
      <c r="L10" s="2">
        <v>0</v>
      </c>
      <c r="M10" s="2">
        <v>2</v>
      </c>
      <c r="N10" s="2">
        <v>2</v>
      </c>
      <c r="O10" s="2">
        <v>2</v>
      </c>
      <c r="P10" s="2">
        <v>1</v>
      </c>
    </row>
    <row r="11" spans="1:16" ht="15.75" customHeight="1" x14ac:dyDescent="0.15">
      <c r="A11" s="3">
        <v>46064</v>
      </c>
      <c r="B11" s="2">
        <f t="shared" si="1"/>
        <v>8.9999999999999929</v>
      </c>
      <c r="C11" s="2">
        <f t="shared" si="0"/>
        <v>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0</v>
      </c>
      <c r="L11" s="2">
        <v>0</v>
      </c>
      <c r="M11" s="2">
        <v>0</v>
      </c>
      <c r="N11" s="2">
        <v>2</v>
      </c>
      <c r="O11" s="2">
        <v>2</v>
      </c>
      <c r="P11" s="2">
        <v>1</v>
      </c>
    </row>
    <row r="12" spans="1:16" ht="15.75" customHeight="1" x14ac:dyDescent="0.15">
      <c r="A12" s="3">
        <v>46065</v>
      </c>
      <c r="B12" s="2">
        <f t="shared" si="1"/>
        <v>7.1999999999999931</v>
      </c>
      <c r="C12" s="2">
        <f t="shared" si="0"/>
        <v>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2</v>
      </c>
      <c r="P12" s="2">
        <v>1</v>
      </c>
    </row>
    <row r="13" spans="1:16" ht="15.75" customHeight="1" x14ac:dyDescent="0.15">
      <c r="A13" s="3">
        <v>46066</v>
      </c>
      <c r="B13" s="2">
        <f t="shared" si="1"/>
        <v>5.3999999999999932</v>
      </c>
      <c r="C13" s="2">
        <f t="shared" si="0"/>
        <v>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2</v>
      </c>
      <c r="P13" s="2">
        <v>0</v>
      </c>
    </row>
    <row r="14" spans="1:16" ht="15.75" customHeight="1" x14ac:dyDescent="0.15">
      <c r="A14" s="3">
        <v>46067</v>
      </c>
      <c r="B14" s="2">
        <f t="shared" si="1"/>
        <v>3.5999999999999934</v>
      </c>
      <c r="C14" s="2">
        <f t="shared" si="0"/>
        <v>4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</row>
    <row r="15" spans="1:16" ht="15.75" customHeight="1" x14ac:dyDescent="0.15">
      <c r="A15" s="3">
        <v>46068</v>
      </c>
      <c r="B15" s="2">
        <f t="shared" si="1"/>
        <v>1.7999999999999934</v>
      </c>
      <c r="C15" s="2">
        <f t="shared" si="0"/>
        <v>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</row>
    <row r="16" spans="1:16" ht="15.75" customHeight="1" x14ac:dyDescent="0.15">
      <c r="A16" s="3">
        <v>46069</v>
      </c>
      <c r="B16" s="2">
        <v>0</v>
      </c>
      <c r="C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"/>
  <sheetViews>
    <sheetView topLeftCell="A2" workbookViewId="0">
      <selection activeCell="C1" sqref="C1"/>
    </sheetView>
  </sheetViews>
  <sheetFormatPr baseColWidth="10" defaultColWidth="12.66406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E1" s="2" t="s">
        <v>14</v>
      </c>
      <c r="F1" s="2" t="s">
        <v>15</v>
      </c>
      <c r="G1" s="2" t="s">
        <v>5</v>
      </c>
      <c r="H1" s="2" t="s">
        <v>16</v>
      </c>
      <c r="I1" s="2" t="s">
        <v>17</v>
      </c>
      <c r="J1" s="2" t="s">
        <v>18</v>
      </c>
      <c r="K1" s="2" t="s">
        <v>12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ht="15.75" customHeight="1" x14ac:dyDescent="0.15">
      <c r="A2" s="3">
        <v>46069</v>
      </c>
      <c r="B2" s="2">
        <f>SUM(E2:P2)</f>
        <v>24</v>
      </c>
      <c r="C2" s="2">
        <f t="shared" ref="C2:C16" si="0">SUM(E2:P2)</f>
        <v>24</v>
      </c>
      <c r="E2" s="2">
        <v>4</v>
      </c>
      <c r="F2" s="2">
        <v>0.5</v>
      </c>
      <c r="G2" s="2">
        <v>2</v>
      </c>
      <c r="H2" s="2">
        <v>3</v>
      </c>
      <c r="I2" s="2">
        <v>2</v>
      </c>
      <c r="J2" s="2">
        <v>0.5</v>
      </c>
      <c r="K2" s="2">
        <v>2</v>
      </c>
      <c r="L2" s="2">
        <v>1</v>
      </c>
      <c r="M2" s="2">
        <v>2.5</v>
      </c>
      <c r="N2" s="2">
        <v>1.5</v>
      </c>
      <c r="O2" s="2">
        <v>5</v>
      </c>
    </row>
    <row r="3" spans="1:15" ht="15.75" customHeight="1" x14ac:dyDescent="0.15">
      <c r="A3" s="3">
        <v>46070</v>
      </c>
      <c r="B3" s="2">
        <f t="shared" ref="B3:B15" si="1">B2 - 1.71</f>
        <v>22.29</v>
      </c>
      <c r="C3" s="2">
        <f t="shared" si="0"/>
        <v>24</v>
      </c>
      <c r="E3" s="2">
        <v>4</v>
      </c>
      <c r="F3" s="2">
        <v>0.5</v>
      </c>
      <c r="G3" s="2">
        <v>2</v>
      </c>
      <c r="H3" s="2">
        <v>3</v>
      </c>
      <c r="I3" s="2">
        <v>2</v>
      </c>
      <c r="J3" s="2">
        <v>0.5</v>
      </c>
      <c r="K3" s="2">
        <v>2</v>
      </c>
      <c r="L3" s="2">
        <v>1</v>
      </c>
      <c r="M3" s="2">
        <v>2.5</v>
      </c>
      <c r="N3" s="2">
        <v>1.5</v>
      </c>
      <c r="O3" s="2">
        <v>5</v>
      </c>
    </row>
    <row r="4" spans="1:15" ht="15.75" customHeight="1" x14ac:dyDescent="0.15">
      <c r="A4" s="3">
        <v>46071</v>
      </c>
      <c r="B4" s="2">
        <f t="shared" si="1"/>
        <v>20.58</v>
      </c>
      <c r="C4" s="2">
        <f t="shared" si="0"/>
        <v>19</v>
      </c>
      <c r="E4" s="2">
        <v>3</v>
      </c>
      <c r="F4" s="2">
        <v>0</v>
      </c>
      <c r="G4" s="2">
        <v>1</v>
      </c>
      <c r="H4" s="2">
        <v>3</v>
      </c>
      <c r="I4" s="2">
        <v>2</v>
      </c>
      <c r="J4" s="2">
        <v>0</v>
      </c>
      <c r="K4" s="2">
        <v>0</v>
      </c>
      <c r="L4" s="2">
        <v>1</v>
      </c>
      <c r="M4" s="2">
        <v>2.5</v>
      </c>
      <c r="N4" s="2">
        <v>1.5</v>
      </c>
      <c r="O4" s="2">
        <v>5</v>
      </c>
    </row>
    <row r="5" spans="1:15" ht="15.75" customHeight="1" x14ac:dyDescent="0.15">
      <c r="A5" s="3">
        <v>46072</v>
      </c>
      <c r="B5" s="2">
        <f t="shared" si="1"/>
        <v>18.869999999999997</v>
      </c>
      <c r="C5" s="2">
        <f t="shared" si="0"/>
        <v>17</v>
      </c>
      <c r="E5" s="2">
        <v>2</v>
      </c>
      <c r="F5" s="2">
        <v>0</v>
      </c>
      <c r="G5" s="2">
        <v>0</v>
      </c>
      <c r="H5" s="2">
        <v>3</v>
      </c>
      <c r="I5" s="2">
        <v>2</v>
      </c>
      <c r="J5" s="2">
        <v>0</v>
      </c>
      <c r="K5" s="2">
        <v>0</v>
      </c>
      <c r="L5" s="2">
        <v>1</v>
      </c>
      <c r="M5" s="2">
        <v>2.5</v>
      </c>
      <c r="N5" s="2">
        <v>1.5</v>
      </c>
      <c r="O5" s="2">
        <v>5</v>
      </c>
    </row>
    <row r="6" spans="1:15" ht="15.75" customHeight="1" x14ac:dyDescent="0.15">
      <c r="A6" s="3">
        <v>46073</v>
      </c>
      <c r="B6" s="2">
        <f t="shared" si="1"/>
        <v>17.159999999999997</v>
      </c>
      <c r="C6" s="2">
        <f t="shared" si="0"/>
        <v>11</v>
      </c>
      <c r="E6" s="2">
        <v>0</v>
      </c>
      <c r="F6" s="2">
        <v>0</v>
      </c>
      <c r="G6" s="2">
        <v>0</v>
      </c>
      <c r="H6" s="2">
        <v>3</v>
      </c>
      <c r="I6" s="2">
        <v>0</v>
      </c>
      <c r="J6" s="2">
        <v>0</v>
      </c>
      <c r="K6" s="2">
        <v>0</v>
      </c>
      <c r="L6" s="2">
        <v>1</v>
      </c>
      <c r="M6" s="2">
        <v>2.5</v>
      </c>
      <c r="N6" s="2">
        <v>1.5</v>
      </c>
      <c r="O6" s="2">
        <v>3</v>
      </c>
    </row>
    <row r="7" spans="1:15" ht="15.75" customHeight="1" x14ac:dyDescent="0.15">
      <c r="A7" s="3">
        <v>46074</v>
      </c>
      <c r="B7" s="2">
        <f t="shared" si="1"/>
        <v>15.449999999999996</v>
      </c>
      <c r="C7" s="2">
        <f t="shared" si="0"/>
        <v>10</v>
      </c>
      <c r="E7" s="2">
        <v>0</v>
      </c>
      <c r="F7" s="2">
        <v>0</v>
      </c>
      <c r="G7" s="2">
        <v>0</v>
      </c>
      <c r="H7" s="2">
        <v>3</v>
      </c>
      <c r="I7" s="2">
        <v>0</v>
      </c>
      <c r="J7" s="2">
        <v>0</v>
      </c>
      <c r="K7" s="2">
        <v>0</v>
      </c>
      <c r="L7" s="2">
        <v>1</v>
      </c>
      <c r="M7" s="2">
        <v>2.5</v>
      </c>
      <c r="N7" s="2">
        <v>1.5</v>
      </c>
      <c r="O7" s="2">
        <v>2</v>
      </c>
    </row>
    <row r="8" spans="1:15" ht="15.75" customHeight="1" x14ac:dyDescent="0.15">
      <c r="A8" s="3">
        <v>46075</v>
      </c>
      <c r="B8" s="2">
        <f t="shared" si="1"/>
        <v>13.739999999999995</v>
      </c>
      <c r="C8" s="2">
        <f t="shared" si="0"/>
        <v>9</v>
      </c>
      <c r="E8" s="2">
        <v>0</v>
      </c>
      <c r="F8" s="2">
        <v>0</v>
      </c>
      <c r="G8" s="2">
        <v>0</v>
      </c>
      <c r="H8" s="2">
        <v>3</v>
      </c>
      <c r="I8" s="2">
        <v>0</v>
      </c>
      <c r="J8" s="2">
        <v>0</v>
      </c>
      <c r="K8" s="2">
        <v>0</v>
      </c>
      <c r="L8" s="2">
        <v>0</v>
      </c>
      <c r="M8" s="2">
        <v>2.5</v>
      </c>
      <c r="N8" s="2">
        <v>1.5</v>
      </c>
      <c r="O8" s="2">
        <v>2</v>
      </c>
    </row>
    <row r="9" spans="1:15" ht="15.75" customHeight="1" x14ac:dyDescent="0.15">
      <c r="A9" s="3">
        <v>46076</v>
      </c>
      <c r="B9" s="2">
        <f t="shared" si="1"/>
        <v>12.029999999999994</v>
      </c>
      <c r="C9" s="2">
        <f t="shared" si="0"/>
        <v>7.5</v>
      </c>
      <c r="E9" s="2">
        <v>0</v>
      </c>
      <c r="F9" s="2">
        <v>0</v>
      </c>
      <c r="G9" s="2">
        <v>0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1.5</v>
      </c>
      <c r="O9" s="2">
        <v>2</v>
      </c>
    </row>
    <row r="10" spans="1:15" ht="15.75" customHeight="1" x14ac:dyDescent="0.15">
      <c r="A10" s="3">
        <v>46077</v>
      </c>
      <c r="B10" s="2">
        <f t="shared" si="1"/>
        <v>10.319999999999993</v>
      </c>
      <c r="C10" s="2">
        <f t="shared" si="0"/>
        <v>6.5</v>
      </c>
      <c r="E10" s="2">
        <v>0</v>
      </c>
      <c r="F10" s="2">
        <v>0</v>
      </c>
      <c r="G10" s="2">
        <v>0</v>
      </c>
      <c r="H10" s="2">
        <v>3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1.5</v>
      </c>
      <c r="O10" s="2">
        <v>2</v>
      </c>
    </row>
    <row r="11" spans="1:15" ht="15.75" customHeight="1" x14ac:dyDescent="0.15">
      <c r="A11" s="3">
        <v>46078</v>
      </c>
      <c r="B11" s="2">
        <f t="shared" si="1"/>
        <v>8.6099999999999923</v>
      </c>
      <c r="C11" s="2">
        <f t="shared" si="0"/>
        <v>4.5</v>
      </c>
      <c r="E11" s="2">
        <v>0</v>
      </c>
      <c r="F11" s="2">
        <v>0</v>
      </c>
      <c r="G11" s="2">
        <v>0</v>
      </c>
      <c r="H11" s="2">
        <v>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1.5</v>
      </c>
      <c r="O11" s="2">
        <v>0</v>
      </c>
    </row>
    <row r="12" spans="1:15" ht="15.75" customHeight="1" x14ac:dyDescent="0.15">
      <c r="A12" s="3">
        <v>46079</v>
      </c>
      <c r="B12" s="2">
        <f t="shared" si="1"/>
        <v>6.8999999999999924</v>
      </c>
      <c r="C12" s="2">
        <f t="shared" si="0"/>
        <v>3.5</v>
      </c>
      <c r="E12" s="2">
        <v>0</v>
      </c>
      <c r="F12" s="2">
        <v>0</v>
      </c>
      <c r="G12" s="2">
        <v>0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1.5</v>
      </c>
      <c r="O12" s="2">
        <v>0</v>
      </c>
    </row>
    <row r="13" spans="1:15" ht="15.75" customHeight="1" x14ac:dyDescent="0.15">
      <c r="A13" s="3">
        <v>46080</v>
      </c>
      <c r="B13" s="2">
        <f t="shared" si="1"/>
        <v>5.1899999999999924</v>
      </c>
      <c r="C13" s="2">
        <f t="shared" si="0"/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ht="15.75" customHeight="1" x14ac:dyDescent="0.15">
      <c r="A14" s="3">
        <v>46081</v>
      </c>
      <c r="B14" s="2">
        <f t="shared" si="1"/>
        <v>3.4799999999999924</v>
      </c>
      <c r="C14" s="2">
        <f t="shared" si="0"/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ht="15.75" customHeight="1" x14ac:dyDescent="0.15">
      <c r="A15" s="3">
        <v>46082</v>
      </c>
      <c r="B15" s="2">
        <f t="shared" si="1"/>
        <v>1.7699999999999925</v>
      </c>
      <c r="C15" s="2">
        <f t="shared" si="0"/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ht="15.75" customHeight="1" x14ac:dyDescent="0.15">
      <c r="A16" s="3">
        <v>46083</v>
      </c>
      <c r="B16" s="2">
        <f>B15 - 1.77</f>
        <v>-7.5495165674510645E-15</v>
      </c>
      <c r="C16" s="2">
        <f t="shared" si="0"/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01EC-46F4-9B41-924B-8512088BA0A1}">
  <dimension ref="A1:N32"/>
  <sheetViews>
    <sheetView topLeftCell="B1" workbookViewId="0">
      <selection activeCell="L1" sqref="L1"/>
    </sheetView>
  </sheetViews>
  <sheetFormatPr baseColWidth="10" defaultRowHeight="13" x14ac:dyDescent="0.15"/>
  <cols>
    <col min="5" max="5" width="16.6640625" customWidth="1"/>
    <col min="7" max="7" width="15.6640625" customWidth="1"/>
    <col min="11" max="11" width="12.1640625" customWidth="1"/>
    <col min="14" max="14" width="13.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20</v>
      </c>
      <c r="N1" s="2" t="s">
        <v>31</v>
      </c>
    </row>
    <row r="2" spans="1:14" x14ac:dyDescent="0.15">
      <c r="A2" s="4" t="s">
        <v>32</v>
      </c>
      <c r="B2" s="2">
        <f>SUM(E2:O2)</f>
        <v>38</v>
      </c>
      <c r="C2" s="2">
        <f>SUM(E2:O2)</f>
        <v>38</v>
      </c>
      <c r="E2" s="2">
        <v>4</v>
      </c>
      <c r="F2" s="2">
        <v>6</v>
      </c>
      <c r="G2" s="2">
        <v>6</v>
      </c>
      <c r="H2" s="2">
        <v>3</v>
      </c>
      <c r="I2" s="2">
        <v>3</v>
      </c>
      <c r="J2" s="2">
        <v>6</v>
      </c>
      <c r="K2" s="2">
        <v>3</v>
      </c>
      <c r="L2" s="2">
        <v>1</v>
      </c>
      <c r="M2" s="2">
        <v>3</v>
      </c>
      <c r="N2" s="2">
        <v>3</v>
      </c>
    </row>
    <row r="3" spans="1:14" x14ac:dyDescent="0.15">
      <c r="A3" s="4" t="s">
        <v>33</v>
      </c>
      <c r="B3" s="2">
        <f>B2 - 2.71</f>
        <v>35.29</v>
      </c>
      <c r="C3" s="2">
        <f t="shared" ref="C3:C32" si="0">SUM(E3:O3)</f>
        <v>35</v>
      </c>
      <c r="E3" s="2">
        <v>4</v>
      </c>
      <c r="F3" s="2">
        <v>5</v>
      </c>
      <c r="G3" s="2">
        <v>6</v>
      </c>
      <c r="H3" s="2">
        <v>3</v>
      </c>
      <c r="I3" s="2">
        <v>3</v>
      </c>
      <c r="J3" s="2">
        <v>6</v>
      </c>
      <c r="K3" s="2">
        <v>2</v>
      </c>
      <c r="L3" s="2">
        <v>1</v>
      </c>
      <c r="M3" s="2">
        <v>2</v>
      </c>
      <c r="N3" s="2">
        <v>3</v>
      </c>
    </row>
    <row r="4" spans="1:14" x14ac:dyDescent="0.15">
      <c r="A4" s="4" t="s">
        <v>34</v>
      </c>
      <c r="B4" s="2">
        <f>B3 - 2.71</f>
        <v>32.58</v>
      </c>
      <c r="C4" s="2">
        <f t="shared" si="0"/>
        <v>32</v>
      </c>
      <c r="E4" s="2">
        <v>4</v>
      </c>
      <c r="F4" s="2">
        <v>4</v>
      </c>
      <c r="G4" s="2">
        <v>6</v>
      </c>
      <c r="H4" s="2">
        <v>3</v>
      </c>
      <c r="I4" s="2">
        <v>3</v>
      </c>
      <c r="J4" s="2">
        <v>6</v>
      </c>
      <c r="K4" s="2">
        <v>1</v>
      </c>
      <c r="L4" s="2">
        <v>1</v>
      </c>
      <c r="M4" s="2">
        <v>1</v>
      </c>
      <c r="N4" s="2">
        <v>3</v>
      </c>
    </row>
    <row r="5" spans="1:14" x14ac:dyDescent="0.15">
      <c r="A5" s="4" t="s">
        <v>35</v>
      </c>
      <c r="B5" s="2">
        <f>B4 - 2.71</f>
        <v>29.869999999999997</v>
      </c>
      <c r="C5" s="2">
        <f t="shared" si="0"/>
        <v>29</v>
      </c>
      <c r="E5" s="2">
        <v>4</v>
      </c>
      <c r="F5" s="2">
        <v>3</v>
      </c>
      <c r="G5" s="2">
        <v>6</v>
      </c>
      <c r="H5" s="2">
        <v>3</v>
      </c>
      <c r="I5" s="2">
        <v>3</v>
      </c>
      <c r="J5" s="2">
        <v>6</v>
      </c>
      <c r="K5" s="2">
        <v>0</v>
      </c>
      <c r="L5" s="2">
        <v>1</v>
      </c>
      <c r="M5" s="2">
        <v>0</v>
      </c>
      <c r="N5" s="2">
        <v>3</v>
      </c>
    </row>
    <row r="6" spans="1:14" x14ac:dyDescent="0.15">
      <c r="A6" s="4" t="s">
        <v>36</v>
      </c>
      <c r="B6" s="2">
        <f>B5 - 2.71</f>
        <v>27.159999999999997</v>
      </c>
      <c r="C6" s="2">
        <f t="shared" si="0"/>
        <v>28</v>
      </c>
      <c r="E6" s="2">
        <v>4</v>
      </c>
      <c r="F6" s="2">
        <v>2</v>
      </c>
      <c r="G6" s="2">
        <v>6</v>
      </c>
      <c r="H6" s="2">
        <v>3</v>
      </c>
      <c r="I6" s="2">
        <v>3</v>
      </c>
      <c r="J6" s="2">
        <v>6</v>
      </c>
      <c r="K6" s="2">
        <v>0</v>
      </c>
      <c r="L6" s="2">
        <v>1</v>
      </c>
      <c r="M6" s="2">
        <v>0</v>
      </c>
      <c r="N6" s="2">
        <v>3</v>
      </c>
    </row>
    <row r="7" spans="1:14" x14ac:dyDescent="0.15">
      <c r="A7" s="4" t="s">
        <v>37</v>
      </c>
      <c r="B7" s="2">
        <f>B6 - 2.71</f>
        <v>24.449999999999996</v>
      </c>
      <c r="C7" s="2">
        <f t="shared" si="0"/>
        <v>26</v>
      </c>
      <c r="E7" s="2">
        <v>4</v>
      </c>
      <c r="F7" s="2">
        <v>0</v>
      </c>
      <c r="G7" s="2">
        <v>6</v>
      </c>
      <c r="H7" s="2">
        <v>3</v>
      </c>
      <c r="I7" s="2">
        <v>3</v>
      </c>
      <c r="J7" s="2">
        <v>6</v>
      </c>
      <c r="K7" s="2">
        <v>0</v>
      </c>
      <c r="L7" s="2">
        <v>1</v>
      </c>
      <c r="M7" s="2">
        <v>0</v>
      </c>
      <c r="N7" s="2">
        <v>3</v>
      </c>
    </row>
    <row r="8" spans="1:14" x14ac:dyDescent="0.15">
      <c r="A8" s="4" t="s">
        <v>38</v>
      </c>
      <c r="B8" s="2">
        <f t="shared" ref="B3:B32" si="1">B7 - 1.71</f>
        <v>22.739999999999995</v>
      </c>
      <c r="C8" s="2">
        <f t="shared" si="0"/>
        <v>26</v>
      </c>
      <c r="E8" s="2">
        <v>4</v>
      </c>
      <c r="F8" s="2">
        <v>0</v>
      </c>
      <c r="G8" s="2">
        <v>6</v>
      </c>
      <c r="H8" s="2">
        <v>3</v>
      </c>
      <c r="I8" s="2">
        <v>3</v>
      </c>
      <c r="J8" s="2">
        <v>6</v>
      </c>
      <c r="K8" s="2">
        <v>0</v>
      </c>
      <c r="L8" s="2">
        <v>1</v>
      </c>
      <c r="M8" s="2">
        <v>0</v>
      </c>
      <c r="N8" s="2">
        <v>3</v>
      </c>
    </row>
    <row r="9" spans="1:14" x14ac:dyDescent="0.15">
      <c r="A9" s="4" t="s">
        <v>39</v>
      </c>
      <c r="B9" s="2">
        <f>B8 - 2.71</f>
        <v>20.029999999999994</v>
      </c>
      <c r="C9" s="2">
        <f t="shared" si="0"/>
        <v>26</v>
      </c>
      <c r="E9" s="2">
        <v>4</v>
      </c>
      <c r="F9" s="2">
        <v>0</v>
      </c>
      <c r="G9" s="2">
        <v>6</v>
      </c>
      <c r="H9" s="2">
        <v>3</v>
      </c>
      <c r="I9" s="2">
        <v>3</v>
      </c>
      <c r="J9" s="2">
        <v>6</v>
      </c>
      <c r="K9" s="2">
        <v>0</v>
      </c>
      <c r="L9" s="2">
        <v>1</v>
      </c>
      <c r="M9" s="2">
        <v>0</v>
      </c>
      <c r="N9" s="2">
        <v>3</v>
      </c>
    </row>
    <row r="10" spans="1:14" x14ac:dyDescent="0.15">
      <c r="A10" s="4" t="s">
        <v>40</v>
      </c>
      <c r="B10" s="2">
        <f>B9 - 2.71</f>
        <v>17.319999999999993</v>
      </c>
      <c r="C10" s="2">
        <f t="shared" si="0"/>
        <v>26</v>
      </c>
      <c r="E10" s="2">
        <v>4</v>
      </c>
      <c r="F10" s="2">
        <v>0</v>
      </c>
      <c r="G10" s="2">
        <v>6</v>
      </c>
      <c r="H10" s="2">
        <v>3</v>
      </c>
      <c r="I10" s="2">
        <v>3</v>
      </c>
      <c r="J10" s="2">
        <v>6</v>
      </c>
      <c r="K10" s="2">
        <v>0</v>
      </c>
      <c r="L10" s="2">
        <v>1</v>
      </c>
      <c r="M10" s="2">
        <v>0</v>
      </c>
      <c r="N10" s="2">
        <v>3</v>
      </c>
    </row>
    <row r="11" spans="1:14" x14ac:dyDescent="0.15">
      <c r="A11" s="4" t="s">
        <v>41</v>
      </c>
      <c r="B11" s="2">
        <f>B9 - 2.71</f>
        <v>17.319999999999993</v>
      </c>
      <c r="C11" s="2">
        <f t="shared" si="0"/>
        <v>26</v>
      </c>
      <c r="E11" s="2">
        <v>4</v>
      </c>
      <c r="F11" s="2">
        <v>0</v>
      </c>
      <c r="G11" s="2">
        <v>6</v>
      </c>
      <c r="H11" s="2">
        <v>3</v>
      </c>
      <c r="I11" s="2">
        <v>3</v>
      </c>
      <c r="J11" s="2">
        <v>6</v>
      </c>
      <c r="K11" s="2">
        <v>0</v>
      </c>
      <c r="L11" s="2">
        <v>1</v>
      </c>
      <c r="M11" s="2">
        <v>0</v>
      </c>
      <c r="N11" s="2">
        <v>3</v>
      </c>
    </row>
    <row r="12" spans="1:14" x14ac:dyDescent="0.15">
      <c r="A12" s="4" t="s">
        <v>42</v>
      </c>
      <c r="B12" s="2">
        <f>B9 - 2.71</f>
        <v>17.319999999999993</v>
      </c>
      <c r="C12" s="2">
        <f t="shared" si="0"/>
        <v>26</v>
      </c>
      <c r="E12" s="2">
        <v>4</v>
      </c>
      <c r="F12" s="2">
        <v>0</v>
      </c>
      <c r="G12" s="2">
        <v>6</v>
      </c>
      <c r="H12" s="2">
        <v>3</v>
      </c>
      <c r="I12" s="2">
        <v>3</v>
      </c>
      <c r="J12" s="2">
        <v>6</v>
      </c>
      <c r="K12" s="2">
        <v>0</v>
      </c>
      <c r="L12" s="2">
        <v>1</v>
      </c>
      <c r="M12" s="2">
        <v>0</v>
      </c>
      <c r="N12" s="2">
        <v>3</v>
      </c>
    </row>
    <row r="13" spans="1:14" x14ac:dyDescent="0.15">
      <c r="A13" s="4" t="s">
        <v>43</v>
      </c>
      <c r="B13" s="2">
        <f>B9 - 2.71</f>
        <v>17.319999999999993</v>
      </c>
      <c r="C13" s="2">
        <f t="shared" si="0"/>
        <v>26</v>
      </c>
      <c r="E13" s="2">
        <v>4</v>
      </c>
      <c r="F13" s="2">
        <v>0</v>
      </c>
      <c r="G13" s="2">
        <v>6</v>
      </c>
      <c r="H13" s="2">
        <v>3</v>
      </c>
      <c r="I13" s="2">
        <v>3</v>
      </c>
      <c r="J13" s="2">
        <v>6</v>
      </c>
      <c r="K13" s="2">
        <v>0</v>
      </c>
      <c r="L13" s="2">
        <v>1</v>
      </c>
      <c r="M13" s="2">
        <v>0</v>
      </c>
      <c r="N13" s="2">
        <v>3</v>
      </c>
    </row>
    <row r="14" spans="1:14" x14ac:dyDescent="0.15">
      <c r="A14" s="4" t="s">
        <v>44</v>
      </c>
      <c r="B14" s="2">
        <f>B9 - 2.71</f>
        <v>17.319999999999993</v>
      </c>
      <c r="C14" s="2">
        <f t="shared" si="0"/>
        <v>26</v>
      </c>
      <c r="E14" s="2">
        <v>4</v>
      </c>
      <c r="F14" s="2">
        <v>0</v>
      </c>
      <c r="G14" s="2">
        <v>6</v>
      </c>
      <c r="H14" s="2">
        <v>3</v>
      </c>
      <c r="I14" s="2">
        <v>3</v>
      </c>
      <c r="J14" s="2">
        <v>6</v>
      </c>
      <c r="K14" s="2">
        <v>0</v>
      </c>
      <c r="L14" s="2">
        <v>1</v>
      </c>
      <c r="M14" s="2">
        <v>0</v>
      </c>
      <c r="N14" s="2">
        <v>3</v>
      </c>
    </row>
    <row r="15" spans="1:14" x14ac:dyDescent="0.15">
      <c r="A15" s="4" t="s">
        <v>45</v>
      </c>
      <c r="B15" s="2">
        <f>B9 - 2.71</f>
        <v>17.319999999999993</v>
      </c>
      <c r="C15" s="2">
        <f t="shared" si="0"/>
        <v>26</v>
      </c>
      <c r="E15" s="2">
        <v>4</v>
      </c>
      <c r="F15" s="2">
        <v>0</v>
      </c>
      <c r="G15" s="2">
        <v>6</v>
      </c>
      <c r="H15" s="2">
        <v>3</v>
      </c>
      <c r="I15" s="2">
        <v>3</v>
      </c>
      <c r="J15" s="2">
        <v>6</v>
      </c>
      <c r="K15" s="2">
        <v>0</v>
      </c>
      <c r="L15" s="2">
        <v>1</v>
      </c>
      <c r="M15" s="2">
        <v>0</v>
      </c>
      <c r="N15" s="2">
        <v>3</v>
      </c>
    </row>
    <row r="16" spans="1:14" x14ac:dyDescent="0.15">
      <c r="A16" s="4" t="s">
        <v>46</v>
      </c>
      <c r="B16" s="2">
        <f>B9 - 2.71</f>
        <v>17.319999999999993</v>
      </c>
      <c r="C16" s="2">
        <f t="shared" si="0"/>
        <v>26</v>
      </c>
      <c r="E16" s="2">
        <v>4</v>
      </c>
      <c r="F16" s="2">
        <v>0</v>
      </c>
      <c r="G16" s="2">
        <v>6</v>
      </c>
      <c r="H16" s="2">
        <v>3</v>
      </c>
      <c r="I16" s="2">
        <v>3</v>
      </c>
      <c r="J16" s="2">
        <v>6</v>
      </c>
      <c r="K16" s="2">
        <v>0</v>
      </c>
      <c r="L16" s="2">
        <v>1</v>
      </c>
      <c r="M16" s="2">
        <v>0</v>
      </c>
      <c r="N16" s="2">
        <v>3</v>
      </c>
    </row>
    <row r="17" spans="1:14" x14ac:dyDescent="0.15">
      <c r="A17" s="4" t="s">
        <v>47</v>
      </c>
      <c r="B17" s="2">
        <f>B9 - 2.71</f>
        <v>17.319999999999993</v>
      </c>
      <c r="C17" s="2">
        <f t="shared" si="0"/>
        <v>26</v>
      </c>
      <c r="E17" s="2">
        <v>4</v>
      </c>
      <c r="F17" s="2">
        <v>0</v>
      </c>
      <c r="G17" s="2">
        <v>6</v>
      </c>
      <c r="H17" s="2">
        <v>3</v>
      </c>
      <c r="I17" s="2">
        <v>3</v>
      </c>
      <c r="J17" s="2">
        <v>6</v>
      </c>
      <c r="K17" s="2">
        <v>0</v>
      </c>
      <c r="L17" s="2">
        <v>1</v>
      </c>
      <c r="M17" s="2">
        <v>0</v>
      </c>
      <c r="N17" s="2">
        <v>3</v>
      </c>
    </row>
    <row r="18" spans="1:14" x14ac:dyDescent="0.15">
      <c r="A18" s="4" t="s">
        <v>48</v>
      </c>
      <c r="B18" s="2">
        <f>B9 - 2.71</f>
        <v>17.319999999999993</v>
      </c>
      <c r="C18" s="2">
        <f t="shared" si="0"/>
        <v>26</v>
      </c>
      <c r="E18" s="2">
        <v>4</v>
      </c>
      <c r="F18" s="2">
        <v>0</v>
      </c>
      <c r="G18" s="2">
        <v>6</v>
      </c>
      <c r="H18" s="2">
        <v>3</v>
      </c>
      <c r="I18" s="2">
        <v>3</v>
      </c>
      <c r="J18" s="2">
        <v>6</v>
      </c>
      <c r="K18" s="2">
        <v>0</v>
      </c>
      <c r="L18" s="2">
        <v>1</v>
      </c>
      <c r="M18" s="2">
        <v>0</v>
      </c>
      <c r="N18" s="2">
        <v>3</v>
      </c>
    </row>
    <row r="19" spans="1:14" x14ac:dyDescent="0.15">
      <c r="A19" s="4" t="s">
        <v>49</v>
      </c>
      <c r="B19" s="2">
        <f>B9 - 2.71</f>
        <v>17.319999999999993</v>
      </c>
      <c r="C19" s="2">
        <f t="shared" si="0"/>
        <v>26</v>
      </c>
      <c r="E19" s="2">
        <v>4</v>
      </c>
      <c r="F19" s="2">
        <v>0</v>
      </c>
      <c r="G19" s="2">
        <v>6</v>
      </c>
      <c r="H19" s="2">
        <v>3</v>
      </c>
      <c r="I19" s="2">
        <v>3</v>
      </c>
      <c r="J19" s="2">
        <v>6</v>
      </c>
      <c r="K19" s="2">
        <v>0</v>
      </c>
      <c r="L19" s="2">
        <v>1</v>
      </c>
      <c r="M19" s="2">
        <v>0</v>
      </c>
      <c r="N19" s="2">
        <v>3</v>
      </c>
    </row>
    <row r="20" spans="1:14" x14ac:dyDescent="0.15">
      <c r="A20" s="4" t="s">
        <v>50</v>
      </c>
      <c r="B20" s="2">
        <f>B9 - 2.71</f>
        <v>17.319999999999993</v>
      </c>
      <c r="C20" s="2">
        <f t="shared" si="0"/>
        <v>26</v>
      </c>
      <c r="E20" s="2">
        <v>4</v>
      </c>
      <c r="F20" s="2">
        <v>0</v>
      </c>
      <c r="G20" s="2">
        <v>6</v>
      </c>
      <c r="H20" s="2">
        <v>3</v>
      </c>
      <c r="I20" s="2">
        <v>3</v>
      </c>
      <c r="J20" s="2">
        <v>6</v>
      </c>
      <c r="K20" s="2">
        <v>0</v>
      </c>
      <c r="L20" s="2">
        <v>1</v>
      </c>
      <c r="M20" s="2">
        <v>0</v>
      </c>
      <c r="N20" s="2">
        <v>3</v>
      </c>
    </row>
    <row r="21" spans="1:14" x14ac:dyDescent="0.15">
      <c r="A21" s="4" t="s">
        <v>51</v>
      </c>
      <c r="B21" s="2">
        <f>B9 - 2.71</f>
        <v>17.319999999999993</v>
      </c>
      <c r="C21" s="2">
        <f t="shared" si="0"/>
        <v>26</v>
      </c>
      <c r="E21" s="2">
        <v>4</v>
      </c>
      <c r="F21" s="2">
        <v>0</v>
      </c>
      <c r="G21" s="2">
        <v>6</v>
      </c>
      <c r="H21" s="2">
        <v>3</v>
      </c>
      <c r="I21" s="2">
        <v>3</v>
      </c>
      <c r="J21" s="2">
        <v>6</v>
      </c>
      <c r="K21" s="2">
        <v>0</v>
      </c>
      <c r="L21" s="2">
        <v>1</v>
      </c>
      <c r="M21" s="2">
        <v>0</v>
      </c>
      <c r="N21" s="2">
        <v>3</v>
      </c>
    </row>
    <row r="22" spans="1:14" x14ac:dyDescent="0.15">
      <c r="A22" s="4" t="s">
        <v>52</v>
      </c>
      <c r="B22" s="2">
        <f>B9 - 2.71</f>
        <v>17.319999999999993</v>
      </c>
      <c r="C22" s="2">
        <f t="shared" si="0"/>
        <v>26</v>
      </c>
      <c r="E22" s="2">
        <v>4</v>
      </c>
      <c r="F22" s="2">
        <v>0</v>
      </c>
      <c r="G22" s="2">
        <v>6</v>
      </c>
      <c r="H22" s="2">
        <v>3</v>
      </c>
      <c r="I22" s="2">
        <v>3</v>
      </c>
      <c r="J22" s="2">
        <v>6</v>
      </c>
      <c r="K22" s="2">
        <v>0</v>
      </c>
      <c r="L22" s="2">
        <v>1</v>
      </c>
      <c r="M22" s="2">
        <v>0</v>
      </c>
      <c r="N22" s="2">
        <v>3</v>
      </c>
    </row>
    <row r="23" spans="1:14" x14ac:dyDescent="0.15">
      <c r="A23" s="4" t="s">
        <v>53</v>
      </c>
      <c r="B23" s="2">
        <f>B9 - 2.71</f>
        <v>17.319999999999993</v>
      </c>
      <c r="C23" s="2">
        <f t="shared" si="0"/>
        <v>26</v>
      </c>
      <c r="E23" s="2">
        <v>4</v>
      </c>
      <c r="F23" s="2">
        <v>0</v>
      </c>
      <c r="G23" s="2">
        <v>6</v>
      </c>
      <c r="H23" s="2">
        <v>3</v>
      </c>
      <c r="I23" s="2">
        <v>3</v>
      </c>
      <c r="J23" s="2">
        <v>6</v>
      </c>
      <c r="K23" s="2">
        <v>0</v>
      </c>
      <c r="L23" s="2">
        <v>1</v>
      </c>
      <c r="M23" s="2">
        <v>0</v>
      </c>
      <c r="N23" s="2">
        <v>3</v>
      </c>
    </row>
    <row r="24" spans="1:14" x14ac:dyDescent="0.15">
      <c r="A24" s="4" t="s">
        <v>54</v>
      </c>
      <c r="B24" s="2">
        <f>B23 - 2.71</f>
        <v>14.609999999999992</v>
      </c>
      <c r="C24" s="2">
        <f t="shared" si="0"/>
        <v>22</v>
      </c>
      <c r="E24" s="2">
        <v>0</v>
      </c>
      <c r="F24" s="2">
        <v>0</v>
      </c>
      <c r="G24" s="2">
        <v>6</v>
      </c>
      <c r="H24" s="2">
        <v>3</v>
      </c>
      <c r="I24" s="2">
        <v>3</v>
      </c>
      <c r="J24" s="2">
        <v>6</v>
      </c>
      <c r="K24" s="2">
        <v>0</v>
      </c>
      <c r="L24" s="2">
        <v>1</v>
      </c>
      <c r="M24" s="2">
        <v>0</v>
      </c>
      <c r="N24" s="2">
        <v>3</v>
      </c>
    </row>
    <row r="25" spans="1:14" x14ac:dyDescent="0.15">
      <c r="A25" s="4" t="s">
        <v>55</v>
      </c>
      <c r="B25" s="2">
        <f>B24 - 2.71</f>
        <v>11.899999999999991</v>
      </c>
      <c r="C25" s="2">
        <f t="shared" si="0"/>
        <v>20</v>
      </c>
      <c r="E25" s="2">
        <v>0</v>
      </c>
      <c r="F25" s="2">
        <v>0</v>
      </c>
      <c r="G25" s="2">
        <v>4</v>
      </c>
      <c r="H25" s="2">
        <v>3</v>
      </c>
      <c r="I25" s="2">
        <v>3</v>
      </c>
      <c r="J25" s="2">
        <v>6</v>
      </c>
      <c r="K25" s="2">
        <v>0</v>
      </c>
      <c r="L25" s="2">
        <v>1</v>
      </c>
      <c r="M25" s="2">
        <v>0</v>
      </c>
      <c r="N25" s="2">
        <v>3</v>
      </c>
    </row>
    <row r="26" spans="1:14" x14ac:dyDescent="0.15">
      <c r="A26" s="4" t="s">
        <v>56</v>
      </c>
      <c r="B26" s="2">
        <f>B25 - 2.71</f>
        <v>9.1899999999999906</v>
      </c>
      <c r="C26" s="2">
        <f t="shared" si="0"/>
        <v>15</v>
      </c>
      <c r="E26" s="2">
        <v>0</v>
      </c>
      <c r="F26" s="2">
        <v>0</v>
      </c>
      <c r="G26" s="2">
        <v>2</v>
      </c>
      <c r="H26" s="2">
        <v>3</v>
      </c>
      <c r="I26" s="2">
        <v>3</v>
      </c>
      <c r="J26" s="2">
        <v>4</v>
      </c>
      <c r="K26" s="2">
        <v>0</v>
      </c>
      <c r="L26" s="2">
        <v>1</v>
      </c>
      <c r="M26" s="2">
        <v>0</v>
      </c>
      <c r="N26" s="2">
        <v>2</v>
      </c>
    </row>
    <row r="27" spans="1:14" x14ac:dyDescent="0.15">
      <c r="A27" s="4" t="s">
        <v>57</v>
      </c>
      <c r="B27" s="2">
        <f>B26 - 2.71</f>
        <v>6.4799999999999907</v>
      </c>
      <c r="C27" s="2">
        <f t="shared" si="0"/>
        <v>10</v>
      </c>
      <c r="E27" s="2">
        <v>0</v>
      </c>
      <c r="F27" s="2">
        <v>0</v>
      </c>
      <c r="G27" s="2">
        <v>0</v>
      </c>
      <c r="H27" s="2">
        <v>3</v>
      </c>
      <c r="I27" s="2">
        <v>3</v>
      </c>
      <c r="J27" s="2">
        <v>2</v>
      </c>
      <c r="K27" s="2">
        <v>0</v>
      </c>
      <c r="L27" s="2">
        <v>1</v>
      </c>
      <c r="M27" s="2">
        <v>0</v>
      </c>
      <c r="N27" s="2">
        <v>1</v>
      </c>
    </row>
    <row r="28" spans="1:14" x14ac:dyDescent="0.15">
      <c r="A28" s="4" t="s">
        <v>58</v>
      </c>
      <c r="B28" s="2">
        <f>B27 - 2.71</f>
        <v>3.7699999999999907</v>
      </c>
      <c r="C28" s="2">
        <f t="shared" si="0"/>
        <v>6</v>
      </c>
      <c r="E28" s="2">
        <v>0</v>
      </c>
      <c r="F28" s="2">
        <v>0</v>
      </c>
      <c r="G28" s="2">
        <v>0</v>
      </c>
      <c r="H28" s="2">
        <v>3</v>
      </c>
      <c r="I28" s="2">
        <v>2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</row>
    <row r="29" spans="1:14" x14ac:dyDescent="0.15">
      <c r="A29" s="4" t="s">
        <v>59</v>
      </c>
      <c r="B29" s="2">
        <f>B27 - 2.71</f>
        <v>3.7699999999999907</v>
      </c>
      <c r="C29" s="2">
        <f t="shared" si="0"/>
        <v>5</v>
      </c>
      <c r="E29" s="2">
        <v>0</v>
      </c>
      <c r="F29" s="2">
        <v>0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</row>
    <row r="30" spans="1:14" x14ac:dyDescent="0.15">
      <c r="A30" s="4" t="s">
        <v>60</v>
      </c>
      <c r="B30" s="2">
        <f>B27 - 2.71</f>
        <v>3.7699999999999907</v>
      </c>
      <c r="C30" s="2">
        <f t="shared" si="0"/>
        <v>3</v>
      </c>
      <c r="E30" s="2">
        <v>0</v>
      </c>
      <c r="F30" s="2">
        <v>0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</row>
    <row r="31" spans="1:14" x14ac:dyDescent="0.15">
      <c r="A31" s="4" t="s">
        <v>61</v>
      </c>
      <c r="B31" s="2">
        <f>B30 - 2.71</f>
        <v>1.0599999999999907</v>
      </c>
      <c r="C31" s="2">
        <f t="shared" si="0"/>
        <v>2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</row>
    <row r="32" spans="1:14" x14ac:dyDescent="0.15">
      <c r="A32" s="4" t="s">
        <v>62</v>
      </c>
      <c r="B32" s="2">
        <v>0</v>
      </c>
      <c r="C32" s="2">
        <f t="shared" si="0"/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</sheetData>
  <phoneticPr fontId="3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DDE4-FAFA-F34E-BF55-B17FB354E94D}">
  <dimension ref="A1:O16"/>
  <sheetViews>
    <sheetView tabSelected="1" workbookViewId="0">
      <selection activeCell="J22" sqref="J22"/>
    </sheetView>
  </sheetViews>
  <sheetFormatPr baseColWidth="10" defaultRowHeight="13" x14ac:dyDescent="0.15"/>
  <cols>
    <col min="5" max="5" width="16.1640625" customWidth="1"/>
    <col min="6" max="6" width="12.83203125" customWidth="1"/>
    <col min="7" max="7" width="30.6640625" customWidth="1"/>
    <col min="8" max="8" width="14.5" customWidth="1"/>
    <col min="9" max="9" width="14.83203125" customWidth="1"/>
    <col min="10" max="10" width="16" customWidth="1"/>
  </cols>
  <sheetData>
    <row r="1" spans="1:15" x14ac:dyDescent="0.15">
      <c r="A1" s="1" t="s">
        <v>0</v>
      </c>
      <c r="B1" s="1" t="s">
        <v>1</v>
      </c>
      <c r="C1" s="1" t="s">
        <v>2</v>
      </c>
      <c r="E1" s="2" t="s">
        <v>63</v>
      </c>
      <c r="F1" s="2" t="s">
        <v>65</v>
      </c>
      <c r="G1" s="2" t="s">
        <v>64</v>
      </c>
      <c r="H1" s="2" t="s">
        <v>66</v>
      </c>
      <c r="I1" s="2" t="s">
        <v>70</v>
      </c>
      <c r="J1" s="2" t="s">
        <v>67</v>
      </c>
      <c r="K1" s="2" t="s">
        <v>68</v>
      </c>
      <c r="L1" s="2" t="s">
        <v>69</v>
      </c>
      <c r="M1" s="2" t="s">
        <v>30</v>
      </c>
      <c r="N1" s="2"/>
      <c r="O1" s="2"/>
    </row>
    <row r="2" spans="1:15" x14ac:dyDescent="0.15">
      <c r="A2" s="3">
        <v>46113</v>
      </c>
      <c r="B2" s="2">
        <f>SUM(E2:P2)</f>
        <v>32</v>
      </c>
      <c r="C2" s="2">
        <f t="shared" ref="C2:C16" si="0">SUM(E2:P2)</f>
        <v>32</v>
      </c>
      <c r="E2" s="2">
        <v>4</v>
      </c>
      <c r="F2" s="2">
        <v>6</v>
      </c>
      <c r="G2" s="2">
        <v>6</v>
      </c>
      <c r="H2" s="2">
        <v>3</v>
      </c>
      <c r="I2" s="2">
        <v>3</v>
      </c>
      <c r="J2" s="2">
        <v>3</v>
      </c>
      <c r="K2" s="2">
        <v>1</v>
      </c>
      <c r="L2" s="2">
        <v>5</v>
      </c>
      <c r="M2" s="2">
        <v>1</v>
      </c>
      <c r="N2" s="2"/>
      <c r="O2" s="2"/>
    </row>
    <row r="3" spans="1:15" x14ac:dyDescent="0.15">
      <c r="A3" s="3">
        <v>46114</v>
      </c>
      <c r="B3" s="2">
        <f>B2 - 2.3</f>
        <v>29.7</v>
      </c>
      <c r="C3" s="2">
        <f t="shared" si="0"/>
        <v>28</v>
      </c>
      <c r="E3" s="2">
        <v>4</v>
      </c>
      <c r="F3" s="2">
        <v>3</v>
      </c>
      <c r="G3" s="2">
        <v>6</v>
      </c>
      <c r="H3" s="2">
        <v>3</v>
      </c>
      <c r="I3" s="2">
        <v>3</v>
      </c>
      <c r="J3" s="2">
        <v>2</v>
      </c>
      <c r="K3" s="2">
        <v>1</v>
      </c>
      <c r="L3" s="2">
        <v>5</v>
      </c>
      <c r="M3" s="2">
        <v>1</v>
      </c>
      <c r="N3" s="2"/>
      <c r="O3" s="2"/>
    </row>
    <row r="4" spans="1:15" x14ac:dyDescent="0.15">
      <c r="A4" s="3">
        <v>46115</v>
      </c>
      <c r="B4" s="2">
        <f t="shared" ref="B4:B16" si="1">B3 - 2.3</f>
        <v>27.4</v>
      </c>
      <c r="C4" s="2">
        <f t="shared" si="0"/>
        <v>27</v>
      </c>
      <c r="E4" s="2">
        <v>4</v>
      </c>
      <c r="F4" s="2">
        <v>2</v>
      </c>
      <c r="G4" s="2">
        <v>6</v>
      </c>
      <c r="H4" s="2">
        <v>3</v>
      </c>
      <c r="I4" s="2">
        <v>3</v>
      </c>
      <c r="J4" s="2">
        <v>2</v>
      </c>
      <c r="K4" s="2">
        <v>1</v>
      </c>
      <c r="L4" s="2">
        <v>5</v>
      </c>
      <c r="M4" s="2">
        <v>1</v>
      </c>
      <c r="N4" s="2"/>
      <c r="O4" s="2"/>
    </row>
    <row r="5" spans="1:15" x14ac:dyDescent="0.15">
      <c r="A5" s="3">
        <v>46116</v>
      </c>
      <c r="B5" s="2">
        <f t="shared" si="1"/>
        <v>25.099999999999998</v>
      </c>
      <c r="C5" s="2">
        <f t="shared" si="0"/>
        <v>23</v>
      </c>
      <c r="E5" s="2">
        <v>4</v>
      </c>
      <c r="F5" s="2">
        <v>0</v>
      </c>
      <c r="G5" s="2">
        <v>4</v>
      </c>
      <c r="H5" s="2">
        <v>3</v>
      </c>
      <c r="I5" s="2">
        <v>3</v>
      </c>
      <c r="J5" s="2">
        <v>2</v>
      </c>
      <c r="K5" s="2">
        <v>1</v>
      </c>
      <c r="L5" s="2">
        <v>5</v>
      </c>
      <c r="M5" s="2">
        <v>1</v>
      </c>
      <c r="N5" s="2"/>
      <c r="O5" s="2"/>
    </row>
    <row r="6" spans="1:15" x14ac:dyDescent="0.15">
      <c r="A6" s="3">
        <v>46117</v>
      </c>
      <c r="B6" s="2">
        <f t="shared" si="1"/>
        <v>22.799999999999997</v>
      </c>
      <c r="C6" s="2">
        <f t="shared" si="0"/>
        <v>19</v>
      </c>
      <c r="E6" s="2">
        <v>4</v>
      </c>
      <c r="F6" s="2">
        <v>0</v>
      </c>
      <c r="G6" s="2">
        <v>2</v>
      </c>
      <c r="H6" s="2">
        <v>3</v>
      </c>
      <c r="I6" s="2">
        <v>3</v>
      </c>
      <c r="J6" s="2">
        <v>0</v>
      </c>
      <c r="K6" s="2">
        <v>1</v>
      </c>
      <c r="L6" s="2">
        <v>5</v>
      </c>
      <c r="M6" s="2">
        <v>1</v>
      </c>
      <c r="N6" s="2"/>
      <c r="O6" s="2"/>
    </row>
    <row r="7" spans="1:15" x14ac:dyDescent="0.15">
      <c r="A7" s="3">
        <v>46118</v>
      </c>
      <c r="B7" s="2">
        <f t="shared" si="1"/>
        <v>20.499999999999996</v>
      </c>
      <c r="C7" s="2">
        <f t="shared" si="0"/>
        <v>16</v>
      </c>
      <c r="E7" s="2">
        <v>4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1</v>
      </c>
      <c r="L7" s="2">
        <v>5</v>
      </c>
      <c r="M7" s="2">
        <v>1</v>
      </c>
      <c r="N7" s="2"/>
      <c r="O7" s="2"/>
    </row>
    <row r="8" spans="1:15" x14ac:dyDescent="0.15">
      <c r="A8" s="3">
        <v>46119</v>
      </c>
      <c r="B8" s="2">
        <f t="shared" si="1"/>
        <v>18.199999999999996</v>
      </c>
      <c r="C8" s="2">
        <f t="shared" si="0"/>
        <v>15</v>
      </c>
      <c r="E8" s="2">
        <v>4</v>
      </c>
      <c r="F8" s="2">
        <v>0</v>
      </c>
      <c r="G8" s="2">
        <v>0</v>
      </c>
      <c r="H8" s="2">
        <v>3</v>
      </c>
      <c r="I8" s="2">
        <v>1</v>
      </c>
      <c r="J8" s="2">
        <v>0</v>
      </c>
      <c r="K8" s="2">
        <v>1</v>
      </c>
      <c r="L8" s="2">
        <v>5</v>
      </c>
      <c r="M8" s="2">
        <v>1</v>
      </c>
      <c r="N8" s="2"/>
      <c r="O8" s="2"/>
    </row>
    <row r="9" spans="1:15" x14ac:dyDescent="0.15">
      <c r="A9" s="3">
        <v>46120</v>
      </c>
      <c r="B9" s="2">
        <f t="shared" si="1"/>
        <v>15.899999999999995</v>
      </c>
      <c r="C9" s="2">
        <f t="shared" si="0"/>
        <v>14</v>
      </c>
      <c r="E9" s="2">
        <v>4</v>
      </c>
      <c r="F9" s="2">
        <v>0</v>
      </c>
      <c r="G9" s="2">
        <v>0</v>
      </c>
      <c r="H9" s="2">
        <v>3</v>
      </c>
      <c r="I9" s="2">
        <v>0</v>
      </c>
      <c r="J9" s="2">
        <v>0</v>
      </c>
      <c r="K9" s="2">
        <v>1</v>
      </c>
      <c r="L9" s="2">
        <v>5</v>
      </c>
      <c r="M9" s="2">
        <v>1</v>
      </c>
      <c r="N9" s="2"/>
      <c r="O9" s="2"/>
    </row>
    <row r="10" spans="1:15" x14ac:dyDescent="0.15">
      <c r="A10" s="3">
        <v>46121</v>
      </c>
      <c r="B10" s="2">
        <f t="shared" si="1"/>
        <v>13.599999999999994</v>
      </c>
      <c r="C10" s="2">
        <f t="shared" si="0"/>
        <v>14</v>
      </c>
      <c r="E10" s="2">
        <v>4</v>
      </c>
      <c r="F10" s="2">
        <v>0</v>
      </c>
      <c r="G10" s="2">
        <v>0</v>
      </c>
      <c r="H10" s="2">
        <v>3</v>
      </c>
      <c r="I10" s="2">
        <v>0</v>
      </c>
      <c r="J10" s="2">
        <v>0</v>
      </c>
      <c r="K10" s="2">
        <v>1</v>
      </c>
      <c r="L10" s="2">
        <v>5</v>
      </c>
      <c r="M10" s="2">
        <v>1</v>
      </c>
      <c r="N10" s="2"/>
      <c r="O10" s="2"/>
    </row>
    <row r="11" spans="1:15" x14ac:dyDescent="0.15">
      <c r="A11" s="3">
        <v>46122</v>
      </c>
      <c r="B11" s="2">
        <f t="shared" si="1"/>
        <v>11.299999999999994</v>
      </c>
      <c r="C11" s="2">
        <f t="shared" si="0"/>
        <v>14</v>
      </c>
      <c r="E11" s="2">
        <v>4</v>
      </c>
      <c r="F11" s="2">
        <v>0</v>
      </c>
      <c r="G11" s="2">
        <v>0</v>
      </c>
      <c r="H11" s="2">
        <v>3</v>
      </c>
      <c r="I11" s="2">
        <v>0</v>
      </c>
      <c r="J11" s="2">
        <v>0</v>
      </c>
      <c r="K11" s="2">
        <v>1</v>
      </c>
      <c r="L11" s="2">
        <v>5</v>
      </c>
      <c r="M11" s="2">
        <v>1</v>
      </c>
      <c r="N11" s="2"/>
      <c r="O11" s="2"/>
    </row>
    <row r="12" spans="1:15" x14ac:dyDescent="0.15">
      <c r="A12" s="3">
        <v>46123</v>
      </c>
      <c r="B12" s="2">
        <f t="shared" si="1"/>
        <v>8.9999999999999929</v>
      </c>
      <c r="C12" s="2">
        <f t="shared" si="0"/>
        <v>12</v>
      </c>
      <c r="E12" s="2">
        <v>4</v>
      </c>
      <c r="F12" s="2">
        <v>0</v>
      </c>
      <c r="G12" s="2">
        <v>0</v>
      </c>
      <c r="H12" s="2">
        <v>2</v>
      </c>
      <c r="I12" s="2">
        <v>0</v>
      </c>
      <c r="J12" s="2">
        <v>0</v>
      </c>
      <c r="K12" s="2">
        <v>1</v>
      </c>
      <c r="L12" s="2">
        <v>4</v>
      </c>
      <c r="M12" s="2">
        <v>1</v>
      </c>
      <c r="N12" s="2"/>
      <c r="O12" s="2"/>
    </row>
    <row r="13" spans="1:15" x14ac:dyDescent="0.15">
      <c r="A13" s="3">
        <v>46124</v>
      </c>
      <c r="B13" s="2">
        <f t="shared" si="1"/>
        <v>6.6999999999999931</v>
      </c>
      <c r="C13" s="2">
        <f t="shared" si="0"/>
        <v>8</v>
      </c>
      <c r="E13" s="2">
        <v>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3</v>
      </c>
      <c r="M13" s="2">
        <v>1</v>
      </c>
      <c r="N13" s="2"/>
      <c r="O13" s="2"/>
    </row>
    <row r="14" spans="1:15" x14ac:dyDescent="0.15">
      <c r="A14" s="3">
        <v>46125</v>
      </c>
      <c r="B14" s="2">
        <f t="shared" si="1"/>
        <v>4.3999999999999932</v>
      </c>
      <c r="C14" s="2">
        <f t="shared" si="0"/>
        <v>6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1</v>
      </c>
      <c r="N14" s="2"/>
      <c r="O14" s="2"/>
    </row>
    <row r="15" spans="1:15" x14ac:dyDescent="0.15">
      <c r="A15" s="3">
        <v>46126</v>
      </c>
      <c r="B15" s="2">
        <f t="shared" si="1"/>
        <v>2.0999999999999934</v>
      </c>
      <c r="C15" s="2">
        <f t="shared" si="0"/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1</v>
      </c>
      <c r="N15" s="2"/>
      <c r="O15" s="2"/>
    </row>
    <row r="16" spans="1:15" x14ac:dyDescent="0.15">
      <c r="A16" s="3">
        <v>46127</v>
      </c>
      <c r="B16" s="2">
        <v>0</v>
      </c>
      <c r="C16" s="2">
        <f t="shared" si="0"/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/>
      <c r="O16" s="2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Xiya Sun</cp:lastModifiedBy>
  <dcterms:modified xsi:type="dcterms:W3CDTF">2026-04-30T22:39:55Z</dcterms:modified>
</cp:coreProperties>
</file>